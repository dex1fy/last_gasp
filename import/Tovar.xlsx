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am\OneDrive\Рабочий стол\exxx\import\"/>
    </mc:Choice>
  </mc:AlternateContent>
  <xr:revisionPtr revIDLastSave="0" documentId="13_ncr:1_{C5CF7B47-7EAE-4251-B3AC-EC465D8543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6" i="2" l="1"/>
  <c r="A17" i="2"/>
  <c r="A18" i="2"/>
  <c r="A19" i="2"/>
  <c r="A20" i="2"/>
  <c r="A21" i="2"/>
  <c r="A22" i="2"/>
  <c r="A23" i="2"/>
  <c r="A24" i="2"/>
  <c r="A15" i="2"/>
  <c r="G3" i="2" a="1"/>
  <c r="G3" i="2" s="1"/>
  <c r="N36" i="1" a="1"/>
  <c r="N36" i="1" s="1"/>
  <c r="F49" i="1" s="1"/>
  <c r="J36" i="1" a="1"/>
  <c r="J36" i="1" s="1"/>
  <c r="G47" i="1" s="1"/>
  <c r="G36" i="1" a="1"/>
  <c r="G36" i="1" s="1"/>
  <c r="B36" i="1" a="1"/>
  <c r="B36" i="1" s="1"/>
  <c r="C46" i="1" s="1"/>
  <c r="G60" i="1" l="1"/>
  <c r="G46" i="1"/>
  <c r="F62" i="1"/>
  <c r="F75" i="1"/>
  <c r="F59" i="1"/>
  <c r="G73" i="1"/>
  <c r="G57" i="1"/>
  <c r="C68" i="1"/>
  <c r="C60" i="1"/>
  <c r="C52" i="1"/>
  <c r="C61" i="1"/>
  <c r="F72" i="1"/>
  <c r="F56" i="1"/>
  <c r="G70" i="1"/>
  <c r="G54" i="1"/>
  <c r="C75" i="1"/>
  <c r="C67" i="1"/>
  <c r="C59" i="1"/>
  <c r="C51" i="1"/>
  <c r="F71" i="1"/>
  <c r="G69" i="1"/>
  <c r="C66" i="1"/>
  <c r="C50" i="1"/>
  <c r="F70" i="1"/>
  <c r="C73" i="1"/>
  <c r="C57" i="1"/>
  <c r="F67" i="1"/>
  <c r="G65" i="1"/>
  <c r="C72" i="1"/>
  <c r="C56" i="1"/>
  <c r="F64" i="1"/>
  <c r="F48" i="1"/>
  <c r="G62" i="1"/>
  <c r="G48" i="1"/>
  <c r="C71" i="1"/>
  <c r="C63" i="1"/>
  <c r="C55" i="1"/>
  <c r="C47" i="1"/>
  <c r="C69" i="1"/>
  <c r="C53" i="1"/>
  <c r="F55" i="1"/>
  <c r="G53" i="1"/>
  <c r="C74" i="1"/>
  <c r="C58" i="1"/>
  <c r="F54" i="1"/>
  <c r="G68" i="1"/>
  <c r="G52" i="1"/>
  <c r="C65" i="1"/>
  <c r="C49" i="1"/>
  <c r="F51" i="1"/>
  <c r="G49" i="1"/>
  <c r="C64" i="1"/>
  <c r="C48" i="1"/>
  <c r="F63" i="1"/>
  <c r="F47" i="1"/>
  <c r="G61" i="1"/>
  <c r="C70" i="1"/>
  <c r="C62" i="1"/>
  <c r="C54" i="1"/>
  <c r="F69" i="1"/>
  <c r="F61" i="1"/>
  <c r="F53" i="1"/>
  <c r="G75" i="1"/>
  <c r="G67" i="1"/>
  <c r="G59" i="1"/>
  <c r="G51" i="1"/>
  <c r="F46" i="1"/>
  <c r="F68" i="1"/>
  <c r="F60" i="1"/>
  <c r="F52" i="1"/>
  <c r="G74" i="1"/>
  <c r="G66" i="1"/>
  <c r="G58" i="1"/>
  <c r="G50" i="1"/>
  <c r="F74" i="1"/>
  <c r="F66" i="1"/>
  <c r="F58" i="1"/>
  <c r="F50" i="1"/>
  <c r="G72" i="1"/>
  <c r="G64" i="1"/>
  <c r="G56" i="1"/>
  <c r="F73" i="1"/>
  <c r="F65" i="1"/>
  <c r="F57" i="1"/>
  <c r="G71" i="1"/>
  <c r="G63" i="1"/>
  <c r="G5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<sst xmlns="http://schemas.openxmlformats.org/spreadsheetml/2006/main" count="408" uniqueCount="164">
  <si>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</si>
  <si>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</si>
  <si>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</si>
  <si>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</si>
  <si>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</si>
  <si>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</si>
  <si>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</si>
  <si>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</si>
  <si>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</si>
  <si>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</si>
  <si>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</si>
  <si>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</si>
  <si>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</si>
  <si>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</si>
  <si>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</si>
  <si>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</si>
  <si>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</si>
  <si>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</si>
  <si>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</si>
  <si>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</si>
  <si>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</si>
  <si>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</si>
  <si>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</si>
  <si>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</si>
  <si>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</si>
  <si>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</si>
  <si>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</si>
  <si>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</si>
  <si>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</si>
  <si>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</si>
  <si>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</si>
  <si>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</si>
  <si>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</si>
  <si>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</si>
  <si>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</si>
  <si>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</si>
  <si>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</si>
  <si>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</si>
  <si>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</si>
  <si>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</si>
  <si>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</si>
  <si>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</si>
  <si>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</si>
  <si>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</si>
  <si>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</si>
  <si>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</si>
  <si>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</si>
  <si>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</si>
  <si>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</si>
  <si>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</si>
  <si>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</si>
  <si>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</si>
  <si>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</si>
  <si>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</si>
  <si>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</si>
  <si>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</si>
  <si>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</si>
  <si>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</si>
  <si>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</si>
  <si>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</si>
  <si>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</si>
  <si>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</si>
  <si>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</si>
  <si>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</si>
  <si>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</si>
  <si>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</si>
  <si>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</si>
  <si>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</si>
  <si>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</si>
  <si>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</si>
  <si>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</si>
  <si>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</si>
  <si>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</si>
  <si>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</si>
  <si>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</si>
  <si>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</si>
  <si>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</si>
  <si>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</si>
  <si>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</si>
  <si>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</si>
  <si>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</si>
  <si>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</si>
  <si>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</si>
  <si>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</si>
  <si>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</si>
  <si>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</si>
  <si>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</si>
  <si>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</si>
  <si>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</si>
  <si>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</si>
  <si>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</si>
  <si>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</si>
  <si>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</si>
  <si>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</si>
  <si>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</si>
  <si>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</si>
  <si>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</si>
  <si>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</si>
  <si>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Тип товара</t>
  </si>
  <si>
    <t>Единицы измерения</t>
  </si>
  <si>
    <t>поставщик</t>
  </si>
  <si>
    <t>категория товара</t>
  </si>
  <si>
    <t>Роль сотрудника</t>
  </si>
  <si>
    <t>ФИО</t>
  </si>
  <si>
    <t>Логин</t>
  </si>
  <si>
    <t>Пароль</t>
  </si>
  <si>
    <t>Администратор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</si>
  <si>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</si>
  <si>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</si>
  <si>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</si>
  <si>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</si>
  <si>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</si>
  <si>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</si>
  <si>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</si>
  <si>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</si>
  <si>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</si>
  <si>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</si>
  <si>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</si>
  <si>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</si>
  <si>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</si>
  <si>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</si>
  <si>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</si>
  <si>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</si>
  <si>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</si>
  <si>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</si>
  <si>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</si>
  <si>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</si>
  <si>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</si>
  <si>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</si>
  <si>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</si>
  <si>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</si>
  <si>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</si>
  <si>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</si>
  <si>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</si>
  <si>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</si>
  <si>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</si>
  <si>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</si>
  <si>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Роль</t>
  </si>
  <si>
    <t>Фамилия</t>
  </si>
  <si>
    <t>Имя</t>
  </si>
  <si>
    <t>Отчество</t>
  </si>
  <si>
    <t>Роли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</si>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</sst>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sz val="12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13" Type="http://schemas.openxmlformats.org/officeDocument/2006/relationships/hyperlink" Target="mailto:yzls62@outlook.com" TargetMode="External"/><Relationship Id="rId18" Type="http://schemas.openxmlformats.org/officeDocument/2006/relationships/hyperlink" Target="mailto:ptec8ym@yahoo.com" TargetMode="External"/><Relationship Id="rId26" Type="http://schemas.openxmlformats.org/officeDocument/2006/relationships/hyperlink" Target="mailto:wpmrc3do@tutanota.com" TargetMode="External"/><Relationship Id="rId3" Type="http://schemas.openxmlformats.org/officeDocument/2006/relationships/hyperlink" Target="mailto:yzls62@outlook.com" TargetMode="External"/><Relationship Id="rId21" Type="http://schemas.openxmlformats.org/officeDocument/2006/relationships/hyperlink" Target="mailto:94d5ous@gmail.com" TargetMode="External"/><Relationship Id="rId7" Type="http://schemas.openxmlformats.org/officeDocument/2006/relationships/hyperlink" Target="mailto:5d4zbu@tutanota.com" TargetMode="External"/><Relationship Id="rId12" Type="http://schemas.openxmlformats.org/officeDocument/2006/relationships/hyperlink" Target="mailto:uth4iz@mail.com" TargetMode="External"/><Relationship Id="rId17" Type="http://schemas.openxmlformats.org/officeDocument/2006/relationships/hyperlink" Target="mailto:5d4zbu@tutanota.com" TargetMode="External"/><Relationship Id="rId25" Type="http://schemas.openxmlformats.org/officeDocument/2006/relationships/hyperlink" Target="mailto:tjde7c@yahoo.com" TargetMode="External"/><Relationship Id="rId2" Type="http://schemas.openxmlformats.org/officeDocument/2006/relationships/hyperlink" Target="mailto:uth4iz@mail.com" TargetMode="External"/><Relationship Id="rId16" Type="http://schemas.openxmlformats.org/officeDocument/2006/relationships/hyperlink" Target="mailto:wpmrc3do@tutanota.com" TargetMode="External"/><Relationship Id="rId20" Type="http://schemas.openxmlformats.org/officeDocument/2006/relationships/hyperlink" Target="mailto:4np6se@mail.com" TargetMode="External"/><Relationship Id="rId29" Type="http://schemas.openxmlformats.org/officeDocument/2006/relationships/hyperlink" Target="mailto:1qz4kw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hyperlink" Target="mailto:94d5ous@gmail.com" TargetMode="External"/><Relationship Id="rId24" Type="http://schemas.openxmlformats.org/officeDocument/2006/relationships/hyperlink" Target="mailto:1diph5e@tutanota.com" TargetMode="External"/><Relationship Id="rId5" Type="http://schemas.openxmlformats.org/officeDocument/2006/relationships/hyperlink" Target="mailto:tjde7c@yahoo.com" TargetMode="External"/><Relationship Id="rId15" Type="http://schemas.openxmlformats.org/officeDocument/2006/relationships/hyperlink" Target="mailto:tjde7c@yahoo.com" TargetMode="External"/><Relationship Id="rId23" Type="http://schemas.openxmlformats.org/officeDocument/2006/relationships/hyperlink" Target="mailto:yzls62@outlook.com" TargetMode="External"/><Relationship Id="rId28" Type="http://schemas.openxmlformats.org/officeDocument/2006/relationships/hyperlink" Target="mailto:ptec8ym@yahoo.com" TargetMode="External"/><Relationship Id="rId10" Type="http://schemas.openxmlformats.org/officeDocument/2006/relationships/hyperlink" Target="mailto:4np6se@mail.com" TargetMode="External"/><Relationship Id="rId19" Type="http://schemas.openxmlformats.org/officeDocument/2006/relationships/hyperlink" Target="mailto:1qz4kw@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Relationship Id="rId14" Type="http://schemas.openxmlformats.org/officeDocument/2006/relationships/hyperlink" Target="mailto:1diph5e@tutanota.com" TargetMode="External"/><Relationship Id="rId22" Type="http://schemas.openxmlformats.org/officeDocument/2006/relationships/hyperlink" Target="mailto:uth4iz@mail.com" TargetMode="External"/><Relationship Id="rId27" Type="http://schemas.openxmlformats.org/officeDocument/2006/relationships/hyperlink" Target="mailto:5d4zbu@tutanota.com" TargetMode="External"/><Relationship Id="rId30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43" zoomScale="70" zoomScaleNormal="70" workbookViewId="0">
      <selection activeCell="B46" sqref="B46:K75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5">
      <c r="A35" s="3"/>
      <c r="B35" s="3" t="s">
        <v>98</v>
      </c>
      <c r="C35" s="3"/>
      <c r="E35" s="3" t="s">
        <v>99</v>
      </c>
      <c r="G35" s="3" t="s">
        <v>100</v>
      </c>
      <c r="I35" s="3"/>
      <c r="J35" s="3" t="s">
        <v>101</v>
      </c>
      <c r="K35" s="3"/>
      <c r="N35" t="s">
        <v>16</v>
      </c>
    </row>
    <row r="36" spans="1:15">
      <c r="A36" s="3"/>
      <c r="B36" s="3" t="str" cm="1">
        <f t="array" ref="B36:B42">_xlfn.UNIQUE(B2:B31)</f>
        <v>Ботинки</v>
      </c>
      <c r="C36" s="3">
        <v>1</v>
      </c>
      <c r="D36" s="3"/>
      <c r="E36" s="2" t="s">
        <v>6</v>
      </c>
      <c r="F36" s="3">
        <v>1</v>
      </c>
      <c r="G36" s="3" t="str" cm="1">
        <f t="array" ref="G36:G37">_xlfn.UNIQUE(E2:E31)</f>
        <v>Kari</v>
      </c>
      <c r="H36" s="3">
        <v>1</v>
      </c>
      <c r="I36" s="3"/>
      <c r="J36" s="3" t="str" cm="1">
        <f t="array" ref="J36:J37">_xlfn.UNIQUE(G2:G31)</f>
        <v>Женская обувь</v>
      </c>
      <c r="K36" s="3">
        <v>1</v>
      </c>
      <c r="N36" t="str" cm="1">
        <f t="array" ref="N36:N41">_xlfn.UNIQUE(F2:F31)</f>
        <v>Kari</v>
      </c>
      <c r="O36">
        <v>1</v>
      </c>
    </row>
    <row r="37" spans="1:15">
      <c r="A37" s="3"/>
      <c r="B37" s="3" t="str">
        <v>Туфли</v>
      </c>
      <c r="C37" s="3">
        <v>2</v>
      </c>
      <c r="D37" s="3"/>
      <c r="E37" s="3"/>
      <c r="F37" s="3"/>
      <c r="G37" s="3" t="str">
        <v>Обувь для вас</v>
      </c>
      <c r="H37" s="3">
        <v>2</v>
      </c>
      <c r="I37" s="3"/>
      <c r="J37" s="3" t="str">
        <v>Мужская обувь</v>
      </c>
      <c r="K37" s="3">
        <v>2</v>
      </c>
      <c r="N37" t="str">
        <v>Marco Tozzi</v>
      </c>
      <c r="O37">
        <v>2</v>
      </c>
    </row>
    <row r="38" spans="1:15">
      <c r="A38" s="3"/>
      <c r="B38" s="3" t="str">
        <v>Кроссовки</v>
      </c>
      <c r="C38" s="3">
        <v>3</v>
      </c>
      <c r="D38" s="3"/>
      <c r="E38" s="3"/>
      <c r="F38" s="3"/>
      <c r="G38" s="3"/>
      <c r="H38" s="3"/>
      <c r="I38" s="3"/>
      <c r="J38" s="3"/>
      <c r="K38" s="3"/>
      <c r="N38" t="str">
        <v>Рос</v>
      </c>
      <c r="O38">
        <v>3</v>
      </c>
    </row>
    <row r="39" spans="1:15">
      <c r="A39" s="3"/>
      <c r="B39" s="3" t="str">
        <v>Полуботинки</v>
      </c>
      <c r="C39" s="3">
        <v>4</v>
      </c>
      <c r="D39" s="3"/>
      <c r="E39" s="3"/>
      <c r="F39" s="3"/>
      <c r="G39" s="3"/>
      <c r="H39" s="3"/>
      <c r="I39" s="3"/>
      <c r="J39" s="3"/>
      <c r="K39" s="3"/>
      <c r="N39" t="str">
        <v>Rieker</v>
      </c>
      <c r="O39">
        <v>4</v>
      </c>
    </row>
    <row r="40" spans="1:15">
      <c r="A40" s="3"/>
      <c r="B40" s="3" t="str">
        <v>Кеды</v>
      </c>
      <c r="C40" s="3">
        <v>5</v>
      </c>
      <c r="D40" s="3"/>
      <c r="E40" s="3"/>
      <c r="F40" s="3"/>
      <c r="G40" s="3"/>
      <c r="H40" s="3"/>
      <c r="I40" s="3"/>
      <c r="J40" s="3"/>
      <c r="K40" s="3"/>
      <c r="N40" t="str">
        <v>Alessio Nesca</v>
      </c>
      <c r="O40">
        <v>5</v>
      </c>
    </row>
    <row r="41" spans="1:15">
      <c r="A41" s="3"/>
      <c r="B41" s="3" t="str">
        <v>Тапочки</v>
      </c>
      <c r="C41" s="3">
        <v>6</v>
      </c>
      <c r="D41" s="3"/>
      <c r="E41" s="3"/>
      <c r="F41" s="3"/>
      <c r="G41" s="3"/>
      <c r="H41" s="3"/>
      <c r="I41" s="3"/>
      <c r="J41" s="3"/>
      <c r="K41" s="3"/>
      <c r="N41" t="str">
        <v>CROSBY</v>
      </c>
      <c r="O41">
        <v>6</v>
      </c>
    </row>
    <row r="42" spans="1:15">
      <c r="A42" s="3"/>
      <c r="B42" s="3" t="str">
        <v>Сапоги</v>
      </c>
      <c r="C42" s="3">
        <v>7</v>
      </c>
      <c r="D42" s="3"/>
      <c r="E42" s="3"/>
      <c r="F42" s="3"/>
      <c r="G42" s="3"/>
      <c r="H42" s="3"/>
      <c r="I42" s="3"/>
      <c r="J42" s="3"/>
      <c r="K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5" ht="47.25">
      <c r="A45">
        <v>1</v>
      </c>
      <c r="B45" s="1" t="s">
        <v>0</v>
      </c>
      <c r="C45" t="s">
        <v>98</v>
      </c>
      <c r="D45" s="1" t="s">
        <v>1</v>
      </c>
      <c r="E45" s="1" t="s">
        <v>18</v>
      </c>
      <c r="F45" s="1" t="s">
        <v>19</v>
      </c>
      <c r="G45" s="1" t="s">
        <v>16</v>
      </c>
      <c r="H45" s="1" t="s">
        <v>2</v>
      </c>
      <c r="I45" s="1" t="s">
        <v>3</v>
      </c>
      <c r="J45" s="1" t="s">
        <v>4</v>
      </c>
      <c r="K45" s="1" t="s">
        <v>21</v>
      </c>
    </row>
    <row r="46" spans="1:15" ht="31.5">
      <c r="A46">
        <v>2</v>
      </c>
      <c r="B46" s="2" t="s">
        <v>5</v>
      </c>
      <c r="C46">
        <f>VLOOKUP(B2,$B$36:$C$42,2,FALSE)</f>
        <v>1</v>
      </c>
      <c r="D46">
        <v>1</v>
      </c>
      <c r="E46" s="11">
        <v>1</v>
      </c>
      <c r="F46">
        <f>VLOOKUP(F2,$N$36:$O$41,2,FALSE)</f>
        <v>1</v>
      </c>
      <c r="G46">
        <f>VLOOKUP(G2,$J$36:$K$37,2,FALSE)</f>
        <v>1</v>
      </c>
      <c r="H46" s="2">
        <v>4990</v>
      </c>
      <c r="I46" s="2">
        <v>3</v>
      </c>
      <c r="J46" s="2">
        <v>6</v>
      </c>
      <c r="K46" s="2" t="s">
        <v>67</v>
      </c>
    </row>
    <row r="47" spans="1:15" ht="63">
      <c r="A47">
        <v>3</v>
      </c>
      <c r="B47" s="2" t="s">
        <v>23</v>
      </c>
      <c r="C47">
        <f>VLOOKUP(B3,$B$36:$C$42,2,FALSE)</f>
        <v>1</v>
      </c>
      <c r="D47">
        <v>1</v>
      </c>
      <c r="E47" s="11">
        <v>2</v>
      </c>
      <c r="F47">
        <f>VLOOKUP(F3,$N$36:$O$41,2,FALSE)</f>
        <v>2</v>
      </c>
      <c r="G47">
        <f>VLOOKUP(G3,$J$36:$K$37,2,FALSE)</f>
        <v>1</v>
      </c>
      <c r="H47" s="2">
        <v>3244</v>
      </c>
      <c r="I47" s="2">
        <v>2</v>
      </c>
      <c r="J47" s="2">
        <v>13</v>
      </c>
      <c r="K47" s="2" t="s">
        <v>68</v>
      </c>
    </row>
    <row r="48" spans="1:15" ht="63">
      <c r="A48">
        <v>4</v>
      </c>
      <c r="B48" s="2" t="s">
        <v>24</v>
      </c>
      <c r="C48">
        <f>VLOOKUP(B4,$B$36:$C$42,2,FALSE)</f>
        <v>2</v>
      </c>
      <c r="D48">
        <v>1</v>
      </c>
      <c r="E48" s="11">
        <v>1</v>
      </c>
      <c r="F48">
        <f>VLOOKUP(F4,$N$36:$O$41,2,FALSE)</f>
        <v>1</v>
      </c>
      <c r="G48">
        <f>VLOOKUP(G4,$J$36:$K$37,2,FALSE)</f>
        <v>2</v>
      </c>
      <c r="H48" s="2">
        <v>4499</v>
      </c>
      <c r="I48" s="2">
        <v>4</v>
      </c>
      <c r="J48" s="2">
        <v>5</v>
      </c>
      <c r="K48" s="2" t="s">
        <v>69</v>
      </c>
    </row>
    <row r="49" spans="1:11" ht="47.25">
      <c r="A49">
        <v>5</v>
      </c>
      <c r="B49" s="2" t="s">
        <v>26</v>
      </c>
      <c r="C49">
        <f>VLOOKUP(B5,$B$36:$C$42,2,FALSE)</f>
        <v>1</v>
      </c>
      <c r="D49">
        <v>1</v>
      </c>
      <c r="E49" s="11">
        <v>1</v>
      </c>
      <c r="F49">
        <f>VLOOKUP(F5,$N$36:$O$41,2,FALSE)</f>
        <v>3</v>
      </c>
      <c r="G49">
        <f>VLOOKUP(G5,$J$36:$K$37,2,FALSE)</f>
        <v>2</v>
      </c>
      <c r="H49" s="2">
        <v>5900</v>
      </c>
      <c r="I49" s="2">
        <v>2</v>
      </c>
      <c r="J49" s="2">
        <v>8</v>
      </c>
      <c r="K49" s="2" t="s">
        <v>70</v>
      </c>
    </row>
    <row r="50" spans="1:11" ht="31.5">
      <c r="A50">
        <v>6</v>
      </c>
      <c r="B50" s="2" t="s">
        <v>27</v>
      </c>
      <c r="C50">
        <f>VLOOKUP(B6,$B$36:$C$42,2,FALSE)</f>
        <v>1</v>
      </c>
      <c r="D50">
        <v>1</v>
      </c>
      <c r="E50" s="11">
        <v>2</v>
      </c>
      <c r="F50">
        <f>VLOOKUP(F6,$N$36:$O$41,2,FALSE)</f>
        <v>4</v>
      </c>
      <c r="G50">
        <f>VLOOKUP(G6,$J$36:$K$37,2,FALSE)</f>
        <v>2</v>
      </c>
      <c r="H50" s="2">
        <v>3800</v>
      </c>
      <c r="I50" s="2">
        <v>2</v>
      </c>
      <c r="J50" s="2">
        <v>16</v>
      </c>
      <c r="K50" s="2" t="s">
        <v>71</v>
      </c>
    </row>
    <row r="51" spans="1:11" ht="31.5">
      <c r="A51">
        <v>7</v>
      </c>
      <c r="B51" s="2" t="s">
        <v>28</v>
      </c>
      <c r="C51">
        <f>VLOOKUP(B7,$B$36:$C$42,2,FALSE)</f>
        <v>3</v>
      </c>
      <c r="D51">
        <v>1</v>
      </c>
      <c r="E51" s="11">
        <v>2</v>
      </c>
      <c r="F51">
        <f>VLOOKUP(F7,$N$36:$O$41,2,FALSE)</f>
        <v>3</v>
      </c>
      <c r="G51">
        <f>VLOOKUP(G7,$J$36:$K$37,2,FALSE)</f>
        <v>2</v>
      </c>
      <c r="H51" s="2">
        <v>4100</v>
      </c>
      <c r="I51" s="2">
        <v>3</v>
      </c>
      <c r="J51" s="2">
        <v>6</v>
      </c>
      <c r="K51" s="2" t="s">
        <v>72</v>
      </c>
    </row>
    <row r="52" spans="1:11" ht="47.25">
      <c r="A52">
        <v>8</v>
      </c>
      <c r="B52" s="2" t="s">
        <v>30</v>
      </c>
      <c r="C52">
        <f>VLOOKUP(B8,$B$36:$C$42,2,FALSE)</f>
        <v>2</v>
      </c>
      <c r="D52">
        <v>1</v>
      </c>
      <c r="E52" s="11">
        <v>1</v>
      </c>
      <c r="F52">
        <f>VLOOKUP(F8,$N$36:$O$41,2,FALSE)</f>
        <v>2</v>
      </c>
      <c r="G52">
        <f>VLOOKUP(G8,$J$36:$K$37,2,FALSE)</f>
        <v>1</v>
      </c>
      <c r="H52" s="2">
        <v>2700</v>
      </c>
      <c r="I52" s="2">
        <v>2</v>
      </c>
      <c r="J52" s="2">
        <v>14</v>
      </c>
      <c r="K52" s="2" t="s">
        <v>73</v>
      </c>
    </row>
    <row r="53" spans="1:11" ht="63">
      <c r="A53">
        <v>9</v>
      </c>
      <c r="B53" s="2" t="s">
        <v>31</v>
      </c>
      <c r="C53">
        <f>VLOOKUP(B9,$B$36:$C$42,2,FALSE)</f>
        <v>4</v>
      </c>
      <c r="D53">
        <v>1</v>
      </c>
      <c r="E53" s="11">
        <v>2</v>
      </c>
      <c r="F53">
        <f>VLOOKUP(F9,$N$36:$O$41,2,FALSE)</f>
        <v>5</v>
      </c>
      <c r="G53">
        <f>VLOOKUP(G9,$J$36:$K$37,2,FALSE)</f>
        <v>1</v>
      </c>
      <c r="H53" s="2">
        <v>1890</v>
      </c>
      <c r="I53" s="2">
        <v>4</v>
      </c>
      <c r="J53" s="2">
        <v>4</v>
      </c>
      <c r="K53" s="2" t="s">
        <v>74</v>
      </c>
    </row>
    <row r="54" spans="1:11" ht="47.25">
      <c r="A54">
        <v>10</v>
      </c>
      <c r="B54" s="2" t="s">
        <v>33</v>
      </c>
      <c r="C54">
        <f>VLOOKUP(B10,$B$36:$C$42,2,FALSE)</f>
        <v>2</v>
      </c>
      <c r="D54">
        <v>1</v>
      </c>
      <c r="E54" s="11">
        <v>1</v>
      </c>
      <c r="F54">
        <f>VLOOKUP(F10,$N$36:$O$41,2,FALSE)</f>
        <v>4</v>
      </c>
      <c r="G54">
        <f>VLOOKUP(G10,$J$36:$K$37,2,FALSE)</f>
        <v>1</v>
      </c>
      <c r="H54" s="2">
        <v>4300</v>
      </c>
      <c r="I54" s="2">
        <v>2</v>
      </c>
      <c r="J54" s="2">
        <v>6</v>
      </c>
      <c r="K54" s="2" t="s">
        <v>75</v>
      </c>
    </row>
    <row r="55" spans="1:11" ht="47.25">
      <c r="A55">
        <v>11</v>
      </c>
      <c r="B55" s="2" t="s">
        <v>34</v>
      </c>
      <c r="C55">
        <f>VLOOKUP(B11,$B$36:$C$42,2,FALSE)</f>
        <v>2</v>
      </c>
      <c r="D55">
        <v>1</v>
      </c>
      <c r="E55" s="11">
        <v>1</v>
      </c>
      <c r="F55">
        <f>VLOOKUP(F11,$N$36:$O$41,2,FALSE)</f>
        <v>1</v>
      </c>
      <c r="G55">
        <f>VLOOKUP(G11,$J$36:$K$37,2,FALSE)</f>
        <v>1</v>
      </c>
      <c r="H55" s="2">
        <v>2800</v>
      </c>
      <c r="I55" s="2">
        <v>3</v>
      </c>
      <c r="J55" s="2">
        <v>15</v>
      </c>
      <c r="K55" s="2" t="s">
        <v>76</v>
      </c>
    </row>
    <row r="56" spans="1:11" ht="47.25">
      <c r="A56">
        <v>12</v>
      </c>
      <c r="B56" s="2" t="s">
        <v>35</v>
      </c>
      <c r="C56">
        <f>VLOOKUP(B12,$B$36:$C$42,2,FALSE)</f>
        <v>4</v>
      </c>
      <c r="D56">
        <v>1</v>
      </c>
      <c r="E56" s="11">
        <v>2</v>
      </c>
      <c r="F56">
        <f>VLOOKUP(F12,$N$36:$O$41,2,FALSE)</f>
        <v>6</v>
      </c>
      <c r="G56">
        <f>VLOOKUP(G12,$J$36:$K$37,2,FALSE)</f>
        <v>2</v>
      </c>
      <c r="H56" s="2">
        <v>2156</v>
      </c>
      <c r="I56" s="2">
        <v>3</v>
      </c>
      <c r="J56" s="2">
        <v>6</v>
      </c>
      <c r="K56" s="2" t="s">
        <v>77</v>
      </c>
    </row>
    <row r="57" spans="1:11" ht="47.25">
      <c r="A57">
        <v>13</v>
      </c>
      <c r="B57" s="2" t="s">
        <v>36</v>
      </c>
      <c r="C57">
        <f>VLOOKUP(B13,$B$36:$C$42,2,FALSE)</f>
        <v>4</v>
      </c>
      <c r="D57">
        <v>1</v>
      </c>
      <c r="E57" s="11">
        <v>1</v>
      </c>
      <c r="F57">
        <f>VLOOKUP(F13,$N$36:$O$41,2,FALSE)</f>
        <v>1</v>
      </c>
      <c r="G57">
        <f>VLOOKUP(G13,$J$36:$K$37,2,FALSE)</f>
        <v>1</v>
      </c>
      <c r="H57" s="2">
        <v>1800</v>
      </c>
      <c r="I57" s="2">
        <v>2</v>
      </c>
      <c r="J57" s="2">
        <v>14</v>
      </c>
      <c r="K57" s="2" t="s">
        <v>78</v>
      </c>
    </row>
    <row r="58" spans="1:11" ht="47.25">
      <c r="A58">
        <v>14</v>
      </c>
      <c r="B58" s="2" t="s">
        <v>37</v>
      </c>
      <c r="C58">
        <f>VLOOKUP(B14,$B$36:$C$42,2,FALSE)</f>
        <v>5</v>
      </c>
      <c r="D58">
        <v>1</v>
      </c>
      <c r="E58" s="11">
        <v>2</v>
      </c>
      <c r="F58">
        <f>VLOOKUP(F14,$N$36:$O$41,2,FALSE)</f>
        <v>6</v>
      </c>
      <c r="G58">
        <f>VLOOKUP(G14,$J$36:$K$37,2,FALSE)</f>
        <v>2</v>
      </c>
      <c r="H58" s="2">
        <v>5500</v>
      </c>
      <c r="I58" s="2">
        <v>3</v>
      </c>
      <c r="J58" s="2">
        <v>0</v>
      </c>
      <c r="K58" s="2" t="s">
        <v>79</v>
      </c>
    </row>
    <row r="59" spans="1:11" ht="47.25">
      <c r="A59">
        <v>15</v>
      </c>
      <c r="B59" s="2" t="s">
        <v>39</v>
      </c>
      <c r="C59">
        <f>VLOOKUP(B15,$B$36:$C$42,2,FALSE)</f>
        <v>4</v>
      </c>
      <c r="D59">
        <v>1</v>
      </c>
      <c r="E59" s="11">
        <v>2</v>
      </c>
      <c r="F59">
        <f>VLOOKUP(F15,$N$36:$O$41,2,FALSE)</f>
        <v>6</v>
      </c>
      <c r="G59">
        <f>VLOOKUP(G15,$J$36:$K$37,2,FALSE)</f>
        <v>2</v>
      </c>
      <c r="H59" s="2">
        <v>2100</v>
      </c>
      <c r="I59" s="2">
        <v>2</v>
      </c>
      <c r="J59" s="2">
        <v>3</v>
      </c>
      <c r="K59" s="2" t="s">
        <v>80</v>
      </c>
    </row>
    <row r="60" spans="1:11" ht="47.25">
      <c r="A60">
        <v>16</v>
      </c>
      <c r="B60" s="2" t="s">
        <v>40</v>
      </c>
      <c r="C60">
        <f>VLOOKUP(B16,$B$36:$C$42,2,FALSE)</f>
        <v>2</v>
      </c>
      <c r="D60">
        <v>1</v>
      </c>
      <c r="E60" s="11">
        <v>2</v>
      </c>
      <c r="F60">
        <f>VLOOKUP(F16,$N$36:$O$41,2,FALSE)</f>
        <v>4</v>
      </c>
      <c r="G60">
        <f>VLOOKUP(G16,$J$36:$K$37,2,FALSE)</f>
        <v>1</v>
      </c>
      <c r="H60" s="2">
        <v>5400</v>
      </c>
      <c r="I60" s="2">
        <v>4</v>
      </c>
      <c r="J60" s="2">
        <v>18</v>
      </c>
      <c r="K60" s="2" t="s">
        <v>81</v>
      </c>
    </row>
    <row r="61" spans="1:11" ht="47.25">
      <c r="A61">
        <v>17</v>
      </c>
      <c r="B61" s="2" t="s">
        <v>41</v>
      </c>
      <c r="C61">
        <f>VLOOKUP(B17,$B$36:$C$42,2,FALSE)</f>
        <v>1</v>
      </c>
      <c r="D61">
        <v>1</v>
      </c>
      <c r="E61" s="11">
        <v>1</v>
      </c>
      <c r="F61">
        <f>VLOOKUP(F17,$N$36:$O$41,2,FALSE)</f>
        <v>1</v>
      </c>
      <c r="G61">
        <f>VLOOKUP(G17,$J$36:$K$37,2,FALSE)</f>
        <v>1</v>
      </c>
      <c r="H61" s="2">
        <v>6600</v>
      </c>
      <c r="I61" s="2">
        <v>12</v>
      </c>
      <c r="J61" s="2">
        <v>9</v>
      </c>
      <c r="K61" s="2" t="s">
        <v>82</v>
      </c>
    </row>
    <row r="62" spans="1:11" ht="47.25">
      <c r="A62">
        <v>18</v>
      </c>
      <c r="B62" s="2" t="s">
        <v>42</v>
      </c>
      <c r="C62">
        <f>VLOOKUP(B18,$B$36:$C$42,2,FALSE)</f>
        <v>6</v>
      </c>
      <c r="D62">
        <v>1</v>
      </c>
      <c r="E62" s="11">
        <v>1</v>
      </c>
      <c r="F62">
        <f>VLOOKUP(F18,$N$36:$O$41,2,FALSE)</f>
        <v>1</v>
      </c>
      <c r="G62">
        <f>VLOOKUP(G18,$J$36:$K$37,2,FALSE)</f>
        <v>2</v>
      </c>
      <c r="H62" s="2">
        <v>500</v>
      </c>
      <c r="I62" s="2">
        <v>13</v>
      </c>
      <c r="J62" s="2">
        <v>0</v>
      </c>
      <c r="K62" s="2" t="s">
        <v>83</v>
      </c>
    </row>
    <row r="63" spans="1:11" ht="47.25">
      <c r="A63">
        <v>19</v>
      </c>
      <c r="B63" s="2" t="s">
        <v>44</v>
      </c>
      <c r="C63">
        <f>VLOOKUP(B19,$B$36:$C$42,2,FALSE)</f>
        <v>1</v>
      </c>
      <c r="D63">
        <v>1</v>
      </c>
      <c r="E63" s="11">
        <v>2</v>
      </c>
      <c r="F63">
        <f>VLOOKUP(F19,$N$36:$O$41,2,FALSE)</f>
        <v>4</v>
      </c>
      <c r="G63">
        <f>VLOOKUP(G19,$J$36:$K$37,2,FALSE)</f>
        <v>2</v>
      </c>
      <c r="H63" s="2">
        <v>2700</v>
      </c>
      <c r="I63" s="2">
        <v>2</v>
      </c>
      <c r="J63" s="2">
        <v>5</v>
      </c>
      <c r="K63" s="2" t="s">
        <v>84</v>
      </c>
    </row>
    <row r="64" spans="1:11" ht="31.5">
      <c r="A64">
        <v>20</v>
      </c>
      <c r="B64" s="2" t="s">
        <v>45</v>
      </c>
      <c r="C64">
        <f>VLOOKUP(B20,$B$36:$C$42,2,FALSE)</f>
        <v>2</v>
      </c>
      <c r="D64">
        <v>1</v>
      </c>
      <c r="E64" s="11">
        <v>1</v>
      </c>
      <c r="F64">
        <f>VLOOKUP(F20,$N$36:$O$41,2,FALSE)</f>
        <v>6</v>
      </c>
      <c r="G64">
        <f>VLOOKUP(G20,$J$36:$K$37,2,FALSE)</f>
        <v>1</v>
      </c>
      <c r="H64" s="2">
        <v>6800</v>
      </c>
      <c r="I64" s="2">
        <v>15</v>
      </c>
      <c r="J64" s="2">
        <v>15</v>
      </c>
      <c r="K64" s="2" t="s">
        <v>85</v>
      </c>
    </row>
    <row r="65" spans="1:11" ht="31.5">
      <c r="A65">
        <v>21</v>
      </c>
      <c r="B65" s="2" t="s">
        <v>46</v>
      </c>
      <c r="C65">
        <f>VLOOKUP(B21,$B$36:$C$42,2,FALSE)</f>
        <v>1</v>
      </c>
      <c r="D65">
        <v>1</v>
      </c>
      <c r="E65" s="11">
        <v>1</v>
      </c>
      <c r="F65">
        <f>VLOOKUP(F21,$N$36:$O$41,2,FALSE)</f>
        <v>5</v>
      </c>
      <c r="G65">
        <f>VLOOKUP(G21,$J$36:$K$37,2,FALSE)</f>
        <v>1</v>
      </c>
      <c r="H65" s="2">
        <v>10200</v>
      </c>
      <c r="I65" s="2">
        <v>15</v>
      </c>
      <c r="J65" s="2">
        <v>9</v>
      </c>
      <c r="K65" s="2" t="s">
        <v>86</v>
      </c>
    </row>
    <row r="66" spans="1:11" ht="47.25">
      <c r="A66">
        <v>22</v>
      </c>
      <c r="B66" s="2" t="s">
        <v>47</v>
      </c>
      <c r="C66">
        <f>VLOOKUP(B22,$B$36:$C$42,2,FALSE)</f>
        <v>1</v>
      </c>
      <c r="D66">
        <v>1</v>
      </c>
      <c r="E66" s="11">
        <v>2</v>
      </c>
      <c r="F66">
        <f>VLOOKUP(F22,$N$36:$O$41,2,FALSE)</f>
        <v>4</v>
      </c>
      <c r="G66">
        <f>VLOOKUP(G22,$J$36:$K$37,2,FALSE)</f>
        <v>1</v>
      </c>
      <c r="H66" s="2">
        <v>11800</v>
      </c>
      <c r="I66" s="2">
        <v>15</v>
      </c>
      <c r="J66" s="2">
        <v>11</v>
      </c>
      <c r="K66" s="2" t="s">
        <v>87</v>
      </c>
    </row>
    <row r="67" spans="1:11" ht="31.5">
      <c r="A67">
        <v>23</v>
      </c>
      <c r="B67" s="2" t="s">
        <v>48</v>
      </c>
      <c r="C67">
        <f>VLOOKUP(B23,$B$36:$C$42,2,FALSE)</f>
        <v>4</v>
      </c>
      <c r="D67">
        <v>1</v>
      </c>
      <c r="E67" s="11">
        <v>1</v>
      </c>
      <c r="F67">
        <f>VLOOKUP(F23,$N$36:$O$41,2,FALSE)</f>
        <v>6</v>
      </c>
      <c r="G67">
        <f>VLOOKUP(G23,$J$36:$K$37,2,FALSE)</f>
        <v>1</v>
      </c>
      <c r="H67" s="2">
        <v>4600</v>
      </c>
      <c r="I67" s="2">
        <v>3</v>
      </c>
      <c r="J67" s="2">
        <v>13</v>
      </c>
      <c r="K67" s="2" t="s">
        <v>88</v>
      </c>
    </row>
    <row r="68" spans="1:11" ht="63">
      <c r="A68">
        <v>24</v>
      </c>
      <c r="B68" s="2" t="s">
        <v>49</v>
      </c>
      <c r="C68">
        <f>VLOOKUP(B24,$B$36:$C$42,2,FALSE)</f>
        <v>2</v>
      </c>
      <c r="D68">
        <v>1</v>
      </c>
      <c r="E68" s="11">
        <v>1</v>
      </c>
      <c r="F68">
        <f>VLOOKUP(F24,$N$36:$O$41,2,FALSE)</f>
        <v>1</v>
      </c>
      <c r="G68">
        <f>VLOOKUP(G24,$J$36:$K$37,2,FALSE)</f>
        <v>1</v>
      </c>
      <c r="H68" s="2">
        <v>12400</v>
      </c>
      <c r="I68" s="2">
        <v>16</v>
      </c>
      <c r="J68" s="2">
        <v>5</v>
      </c>
      <c r="K68" s="2" t="s">
        <v>89</v>
      </c>
    </row>
    <row r="69" spans="1:11" ht="47.25">
      <c r="A69">
        <v>25</v>
      </c>
      <c r="B69" s="2" t="s">
        <v>50</v>
      </c>
      <c r="C69">
        <f>VLOOKUP(B25,$B$36:$C$42,2,FALSE)</f>
        <v>6</v>
      </c>
      <c r="D69">
        <v>1</v>
      </c>
      <c r="E69" s="11">
        <v>2</v>
      </c>
      <c r="F69">
        <f>VLOOKUP(F25,$N$36:$O$41,2,FALSE)</f>
        <v>6</v>
      </c>
      <c r="G69">
        <f>VLOOKUP(G25,$J$36:$K$37,2,FALSE)</f>
        <v>2</v>
      </c>
      <c r="H69" s="2">
        <v>9900</v>
      </c>
      <c r="I69" s="2">
        <v>17</v>
      </c>
      <c r="J69" s="2">
        <v>15</v>
      </c>
      <c r="K69" s="2" t="s">
        <v>90</v>
      </c>
    </row>
    <row r="70" spans="1:11" ht="47.25">
      <c r="A70">
        <v>26</v>
      </c>
      <c r="B70" s="2" t="s">
        <v>51</v>
      </c>
      <c r="C70">
        <f>VLOOKUP(B26,$B$36:$C$42,2,FALSE)</f>
        <v>4</v>
      </c>
      <c r="D70">
        <v>1</v>
      </c>
      <c r="E70" s="11">
        <v>1</v>
      </c>
      <c r="F70">
        <f>VLOOKUP(F26,$N$36:$O$41,2,FALSE)</f>
        <v>1</v>
      </c>
      <c r="G70">
        <f>VLOOKUP(G26,$J$36:$K$37,2,FALSE)</f>
        <v>1</v>
      </c>
      <c r="H70" s="2">
        <v>1700</v>
      </c>
      <c r="I70" s="2">
        <v>2</v>
      </c>
      <c r="J70" s="2">
        <v>7</v>
      </c>
      <c r="K70" s="2" t="s">
        <v>91</v>
      </c>
    </row>
    <row r="71" spans="1:11" ht="31.5">
      <c r="A71">
        <v>27</v>
      </c>
      <c r="B71" s="2" t="s">
        <v>52</v>
      </c>
      <c r="C71">
        <f>VLOOKUP(B27,$B$36:$C$42,2,FALSE)</f>
        <v>3</v>
      </c>
      <c r="D71">
        <v>1</v>
      </c>
      <c r="E71" s="11">
        <v>2</v>
      </c>
      <c r="F71">
        <f>VLOOKUP(F27,$N$36:$O$41,2,FALSE)</f>
        <v>4</v>
      </c>
      <c r="G71">
        <f>VLOOKUP(G27,$J$36:$K$37,2,FALSE)</f>
        <v>2</v>
      </c>
      <c r="H71" s="2">
        <v>2800</v>
      </c>
      <c r="I71" s="2">
        <v>18</v>
      </c>
      <c r="J71" s="2">
        <v>3</v>
      </c>
      <c r="K71" s="2" t="s">
        <v>92</v>
      </c>
    </row>
    <row r="72" spans="1:11" ht="47.25">
      <c r="A72">
        <v>28</v>
      </c>
      <c r="B72" s="2" t="s">
        <v>53</v>
      </c>
      <c r="C72">
        <f>VLOOKUP(B28,$B$36:$C$42,2,FALSE)</f>
        <v>2</v>
      </c>
      <c r="D72">
        <v>1</v>
      </c>
      <c r="E72" s="11">
        <v>2</v>
      </c>
      <c r="F72">
        <f>VLOOKUP(F28,$N$36:$O$41,2,FALSE)</f>
        <v>4</v>
      </c>
      <c r="G72">
        <f>VLOOKUP(G28,$J$36:$K$37,2,FALSE)</f>
        <v>1</v>
      </c>
      <c r="H72" s="2">
        <v>4399</v>
      </c>
      <c r="I72" s="2">
        <v>3</v>
      </c>
      <c r="J72" s="2">
        <v>12</v>
      </c>
      <c r="K72" s="2" t="s">
        <v>93</v>
      </c>
    </row>
    <row r="73" spans="1:11" ht="31.5">
      <c r="A73">
        <v>29</v>
      </c>
      <c r="B73" s="2" t="s">
        <v>54</v>
      </c>
      <c r="C73">
        <f>VLOOKUP(B29,$B$36:$C$42,2,FALSE)</f>
        <v>7</v>
      </c>
      <c r="D73">
        <v>1</v>
      </c>
      <c r="E73" s="11">
        <v>1</v>
      </c>
      <c r="F73">
        <f>VLOOKUP(F29,$N$36:$O$41,2,FALSE)</f>
        <v>6</v>
      </c>
      <c r="G73">
        <f>VLOOKUP(G29,$J$36:$K$37,2,FALSE)</f>
        <v>1</v>
      </c>
      <c r="H73" s="2">
        <v>4699</v>
      </c>
      <c r="I73" s="2">
        <v>2</v>
      </c>
      <c r="J73" s="2">
        <v>5</v>
      </c>
      <c r="K73" s="2" t="s">
        <v>94</v>
      </c>
    </row>
    <row r="74" spans="1:11" ht="31.5">
      <c r="A74">
        <v>30</v>
      </c>
      <c r="B74" s="2" t="s">
        <v>56</v>
      </c>
      <c r="C74">
        <f>VLOOKUP(B30,$B$36:$C$42,2,FALSE)</f>
        <v>6</v>
      </c>
      <c r="D74">
        <v>1</v>
      </c>
      <c r="E74" s="11">
        <v>1</v>
      </c>
      <c r="F74">
        <f>VLOOKUP(F30,$N$36:$O$41,2,FALSE)</f>
        <v>4</v>
      </c>
      <c r="G74">
        <f>VLOOKUP(G30,$J$36:$K$37,2,FALSE)</f>
        <v>2</v>
      </c>
      <c r="H74" s="2">
        <v>599</v>
      </c>
      <c r="I74" s="2">
        <v>20</v>
      </c>
      <c r="J74" s="2">
        <v>2</v>
      </c>
      <c r="K74" s="2" t="s">
        <v>95</v>
      </c>
    </row>
    <row r="75" spans="1:11" ht="31.5">
      <c r="A75">
        <v>31</v>
      </c>
      <c r="B75" s="2" t="s">
        <v>57</v>
      </c>
      <c r="C75">
        <f>VLOOKUP(B31,$B$36:$C$42,2,FALSE)</f>
        <v>1</v>
      </c>
      <c r="D75">
        <v>1</v>
      </c>
      <c r="E75" s="11">
        <v>2</v>
      </c>
      <c r="F75">
        <f>VLOOKUP(F31,$N$36:$O$41,2,FALSE)</f>
        <v>4</v>
      </c>
      <c r="G75">
        <f>VLOOKUP(G31,$J$36:$K$37,2,FALSE)</f>
        <v>1</v>
      </c>
      <c r="H75" s="2">
        <v>2300</v>
      </c>
      <c r="I75" s="2">
        <v>2</v>
      </c>
      <c r="J75" s="2">
        <v>7</v>
      </c>
      <c r="K75" s="2" t="s">
        <v>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80BC-A256-44F2-9684-BB69A63D1C79}">
  <dimension ref="A1:H24"/>
  <sheetViews>
    <sheetView workbookViewId="0">
      <selection activeCell="G27" sqref="G27"/>
    </sheetView>
  </sheetViews>
  <sheetFormatPr defaultRowHeight="15.75"/>
  <cols>
    <col min="1" max="1" width="25.375" bestFit="1" customWidth="1"/>
    <col min="2" max="2" width="32.875" bestFit="1" customWidth="1"/>
    <col min="3" max="3" width="22.125" bestFit="1" customWidth="1"/>
    <col min="4" max="4" width="14.5" bestFit="1" customWidth="1"/>
    <col min="5" max="5" width="22.125" bestFit="1" customWidth="1"/>
    <col min="6" max="6" width="8.625" bestFit="1" customWidth="1"/>
    <col min="7" max="7" width="24.375" bestFit="1" customWidth="1"/>
  </cols>
  <sheetData>
    <row r="1" spans="1:8">
      <c r="A1" s="6" t="s">
        <v>102</v>
      </c>
      <c r="B1" s="6" t="s">
        <v>103</v>
      </c>
      <c r="C1" s="6" t="s">
        <v>104</v>
      </c>
      <c r="D1" s="6" t="s">
        <v>105</v>
      </c>
    </row>
    <row r="2" spans="1:8">
      <c r="A2" s="7" t="s">
        <v>106</v>
      </c>
      <c r="B2" s="7" t="s">
        <v>107</v>
      </c>
      <c r="C2" s="8" t="s">
        <v>108</v>
      </c>
      <c r="D2" s="7" t="s">
        <v>109</v>
      </c>
      <c r="G2" t="s">
        <v>141</v>
      </c>
    </row>
    <row r="3" spans="1:8">
      <c r="A3" s="7" t="s">
        <v>106</v>
      </c>
      <c r="B3" s="7" t="s">
        <v>110</v>
      </c>
      <c r="C3" s="8" t="s">
        <v>111</v>
      </c>
      <c r="D3" s="7" t="s">
        <v>112</v>
      </c>
      <c r="G3" t="str" cm="1">
        <f t="array" ref="G3:G5">_xlfn.UNIQUE(A2:A11)</f>
        <v>Администратор</v>
      </c>
      <c r="H3">
        <v>1</v>
      </c>
    </row>
    <row r="4" spans="1:8">
      <c r="A4" s="7" t="s">
        <v>106</v>
      </c>
      <c r="B4" s="7" t="s">
        <v>113</v>
      </c>
      <c r="C4" s="8" t="s">
        <v>114</v>
      </c>
      <c r="D4" s="7" t="s">
        <v>115</v>
      </c>
      <c r="G4" t="str">
        <v>Менеджер</v>
      </c>
      <c r="H4">
        <v>2</v>
      </c>
    </row>
    <row r="5" spans="1:8">
      <c r="A5" s="7" t="s">
        <v>116</v>
      </c>
      <c r="B5" s="7" t="s">
        <v>117</v>
      </c>
      <c r="C5" s="8" t="s">
        <v>118</v>
      </c>
      <c r="D5" s="7" t="s">
        <v>119</v>
      </c>
      <c r="G5" t="str">
        <v>Авторизированный клиент</v>
      </c>
      <c r="H5">
        <v>3</v>
      </c>
    </row>
    <row r="6" spans="1:8">
      <c r="A6" s="7" t="s">
        <v>116</v>
      </c>
      <c r="B6" s="7" t="s">
        <v>120</v>
      </c>
      <c r="C6" s="8" t="s">
        <v>121</v>
      </c>
      <c r="D6" s="7" t="s">
        <v>122</v>
      </c>
    </row>
    <row r="7" spans="1:8">
      <c r="A7" s="7" t="s">
        <v>116</v>
      </c>
      <c r="B7" s="7" t="s">
        <v>123</v>
      </c>
      <c r="C7" s="8" t="s">
        <v>124</v>
      </c>
      <c r="D7" s="7" t="s">
        <v>125</v>
      </c>
    </row>
    <row r="8" spans="1:8">
      <c r="A8" s="7" t="s">
        <v>126</v>
      </c>
      <c r="B8" s="7" t="s">
        <v>127</v>
      </c>
      <c r="C8" s="8" t="s">
        <v>128</v>
      </c>
      <c r="D8" s="7" t="s">
        <v>129</v>
      </c>
    </row>
    <row r="9" spans="1:8">
      <c r="A9" s="7" t="s">
        <v>126</v>
      </c>
      <c r="B9" s="7" t="s">
        <v>130</v>
      </c>
      <c r="C9" s="8" t="s">
        <v>131</v>
      </c>
      <c r="D9" s="7" t="s">
        <v>132</v>
      </c>
    </row>
    <row r="10" spans="1:8">
      <c r="A10" s="7" t="s">
        <v>126</v>
      </c>
      <c r="B10" s="7" t="s">
        <v>120</v>
      </c>
      <c r="C10" s="8" t="s">
        <v>133</v>
      </c>
      <c r="D10" s="7" t="s">
        <v>134</v>
      </c>
    </row>
    <row r="11" spans="1:8">
      <c r="A11" s="7" t="s">
        <v>126</v>
      </c>
      <c r="B11" s="7" t="s">
        <v>123</v>
      </c>
      <c r="C11" s="8" t="s">
        <v>135</v>
      </c>
      <c r="D11" s="7" t="s">
        <v>136</v>
      </c>
    </row>
    <row r="14" spans="1:8">
      <c r="A14" s="7" t="s">
        <v>137</v>
      </c>
      <c r="B14" s="7" t="s">
        <v>138</v>
      </c>
      <c r="C14" t="s">
        <v>139</v>
      </c>
      <c r="D14" s="7" t="s">
        <v>140</v>
      </c>
      <c r="E14" s="7" t="s">
        <v>104</v>
      </c>
      <c r="F14" s="7" t="s">
        <v>105</v>
      </c>
    </row>
    <row r="15" spans="1:8">
      <c r="A15">
        <f>VLOOKUP(A2,$G$3:$H$5,2,FALSE)</f>
        <v>1</v>
      </c>
      <c r="B15" s="9" t="s">
        <v>142</v>
      </c>
      <c r="C15" s="10" t="s">
        <v>143</v>
      </c>
      <c r="D15" s="9" t="s">
        <v>144</v>
      </c>
      <c r="E15" s="8" t="s">
        <v>108</v>
      </c>
      <c r="F15" s="7" t="s">
        <v>109</v>
      </c>
    </row>
    <row r="16" spans="1:8">
      <c r="A16">
        <f t="shared" ref="A16:A24" si="0">VLOOKUP(A3,$G$3:$H$5,2,FALSE)</f>
        <v>1</v>
      </c>
      <c r="B16" s="9" t="s">
        <v>145</v>
      </c>
      <c r="C16" s="10" t="s">
        <v>146</v>
      </c>
      <c r="D16" s="9" t="s">
        <v>147</v>
      </c>
      <c r="E16" s="8" t="s">
        <v>111</v>
      </c>
      <c r="F16" s="7" t="s">
        <v>112</v>
      </c>
    </row>
    <row r="17" spans="1:6">
      <c r="A17">
        <f t="shared" si="0"/>
        <v>1</v>
      </c>
      <c r="B17" s="9" t="s">
        <v>148</v>
      </c>
      <c r="C17" s="10" t="s">
        <v>149</v>
      </c>
      <c r="D17" s="9" t="s">
        <v>150</v>
      </c>
      <c r="E17" s="8" t="s">
        <v>114</v>
      </c>
      <c r="F17" s="7" t="s">
        <v>115</v>
      </c>
    </row>
    <row r="18" spans="1:6">
      <c r="A18">
        <f t="shared" si="0"/>
        <v>2</v>
      </c>
      <c r="B18" s="9" t="s">
        <v>151</v>
      </c>
      <c r="C18" s="10" t="s">
        <v>152</v>
      </c>
      <c r="D18" s="9" t="s">
        <v>150</v>
      </c>
      <c r="E18" s="8" t="s">
        <v>118</v>
      </c>
      <c r="F18" s="7" t="s">
        <v>119</v>
      </c>
    </row>
    <row r="19" spans="1:6">
      <c r="A19">
        <f t="shared" si="0"/>
        <v>2</v>
      </c>
      <c r="B19" s="9" t="s">
        <v>153</v>
      </c>
      <c r="C19" s="10" t="s">
        <v>154</v>
      </c>
      <c r="D19" s="9" t="s">
        <v>155</v>
      </c>
      <c r="E19" s="8" t="s">
        <v>121</v>
      </c>
      <c r="F19" s="7" t="s">
        <v>122</v>
      </c>
    </row>
    <row r="20" spans="1:6">
      <c r="A20">
        <f t="shared" si="0"/>
        <v>2</v>
      </c>
      <c r="B20" s="9" t="s">
        <v>156</v>
      </c>
      <c r="C20" s="10" t="s">
        <v>157</v>
      </c>
      <c r="D20" s="9" t="s">
        <v>158</v>
      </c>
      <c r="E20" s="8" t="s">
        <v>124</v>
      </c>
      <c r="F20" s="7" t="s">
        <v>125</v>
      </c>
    </row>
    <row r="21" spans="1:6">
      <c r="A21">
        <f t="shared" si="0"/>
        <v>3</v>
      </c>
      <c r="B21" s="9" t="s">
        <v>159</v>
      </c>
      <c r="C21" s="10" t="s">
        <v>160</v>
      </c>
      <c r="D21" s="9" t="s">
        <v>161</v>
      </c>
      <c r="E21" s="8" t="s">
        <v>128</v>
      </c>
      <c r="F21" s="7" t="s">
        <v>129</v>
      </c>
    </row>
    <row r="22" spans="1:6">
      <c r="A22">
        <f t="shared" si="0"/>
        <v>3</v>
      </c>
      <c r="B22" s="9" t="s">
        <v>162</v>
      </c>
      <c r="C22" s="10" t="s">
        <v>157</v>
      </c>
      <c r="D22" s="9" t="s">
        <v>163</v>
      </c>
      <c r="E22" s="8" t="s">
        <v>131</v>
      </c>
      <c r="F22" s="7" t="s">
        <v>132</v>
      </c>
    </row>
    <row r="23" spans="1:6">
      <c r="A23">
        <f t="shared" si="0"/>
        <v>3</v>
      </c>
      <c r="B23" s="9" t="s">
        <v>153</v>
      </c>
      <c r="C23" s="10" t="s">
        <v>154</v>
      </c>
      <c r="D23" s="9" t="s">
        <v>155</v>
      </c>
      <c r="E23" s="8" t="s">
        <v>133</v>
      </c>
      <c r="F23" s="7" t="s">
        <v>134</v>
      </c>
    </row>
    <row r="24" spans="1:6">
      <c r="A24">
        <f t="shared" si="0"/>
        <v>3</v>
      </c>
      <c r="B24" s="9" t="s">
        <v>156</v>
      </c>
      <c r="C24" s="10" t="s">
        <v>157</v>
      </c>
      <c r="D24" s="9" t="s">
        <v>158</v>
      </c>
      <c r="E24" s="8" t="s">
        <v>135</v>
      </c>
      <c r="F24" s="7" t="s">
        <v>136</v>
      </c>
    </row>
  </sheetData>
  <hyperlinks>
    <hyperlink ref="C2" r:id="rId1" xr:uid="{08968244-D571-496D-A71A-270AEF16C785}"/>
    <hyperlink ref="C3" r:id="rId2" xr:uid="{3D909DD1-23EA-4261-889C-FF7BB3FED8F6}"/>
    <hyperlink ref="C4" r:id="rId3" xr:uid="{A7832D16-B200-4652-AF14-427362D2C9EA}"/>
    <hyperlink ref="C5" r:id="rId4" xr:uid="{1F85D63D-76AF-4082-82BA-72C82170DEA0}"/>
    <hyperlink ref="C6" r:id="rId5" xr:uid="{FC31619C-27BA-4B3B-9C37-89B3EA3E6A96}"/>
    <hyperlink ref="C7" r:id="rId6" xr:uid="{2CC64915-795F-4882-B96E-7B2FC00600F1}"/>
    <hyperlink ref="C8" r:id="rId7" xr:uid="{B7CA4B9F-34AC-41D3-A108-18FADF264846}"/>
    <hyperlink ref="C9" r:id="rId8" xr:uid="{4E7D3C41-0889-45B8-88C7-47BD438E3CEC}"/>
    <hyperlink ref="C10" r:id="rId9" xr:uid="{85C85BB0-7BD0-48A4-AB1E-5C4AD80B3A0B}"/>
    <hyperlink ref="C11" r:id="rId10" xr:uid="{97BA6185-252F-42F6-B8A8-2A13EB8B32C6}"/>
    <hyperlink ref="E15" r:id="rId11" xr:uid="{FDEBB1DA-55AA-4682-8072-1B9E3DFE66E4}"/>
    <hyperlink ref="E16" r:id="rId12" xr:uid="{F8111361-9610-4F6B-B00C-9058E54CF50B}"/>
    <hyperlink ref="E17" r:id="rId13" xr:uid="{9A956D6A-0A79-41F3-8242-50EF385835D8}"/>
    <hyperlink ref="E18" r:id="rId14" xr:uid="{A73B233B-26C0-47D6-846C-44CDBDAD58F3}"/>
    <hyperlink ref="E19" r:id="rId15" xr:uid="{E4A23FE5-474F-4096-BE6F-D51F5CD7605E}"/>
    <hyperlink ref="E20" r:id="rId16" xr:uid="{CF2ACE5B-4788-42C3-8BD8-4D2B1749CF91}"/>
    <hyperlink ref="E21" r:id="rId17" xr:uid="{4F79D94E-76D5-4A8F-A881-70E792B84002}"/>
    <hyperlink ref="E22" r:id="rId18" xr:uid="{57708CE7-F9D1-4A1B-9716-2FAF95A8811B}"/>
    <hyperlink ref="E23" r:id="rId19" xr:uid="{3F089089-34F2-43C1-84F5-97553FF92C16}"/>
    <hyperlink ref="E24" r:id="rId20" xr:uid="{A361FF70-71E6-45B3-9974-5F7ABF6C5703}"/>
    <hyperlink ref="C15" r:id="rId21" display="mailto:94d5ous@gmail.com" xr:uid="{50C6A0A3-B779-4696-8A4B-B95B41620EE9}"/>
    <hyperlink ref="C16" r:id="rId22" display="mailto:uth4iz@mail.com" xr:uid="{704F889A-11AC-4663-807B-98CE27170326}"/>
    <hyperlink ref="C17" r:id="rId23" display="mailto:yzls62@outlook.com" xr:uid="{E31B6370-07EF-4BE4-94BC-345EBF0D05F8}"/>
    <hyperlink ref="C18" r:id="rId24" display="mailto:1diph5e@tutanota.com" xr:uid="{AB9987AA-4366-42E3-B0FD-CAEB40DCA694}"/>
    <hyperlink ref="C19" r:id="rId25" display="mailto:tjde7c@yahoo.com" xr:uid="{9D463F06-2B9C-4EC6-86A3-33E2518CDBF5}"/>
    <hyperlink ref="C20" r:id="rId26" display="mailto:wpmrc3do@tutanota.com" xr:uid="{D49B38DE-6996-4FD3-9BF5-D769A611A3DB}"/>
    <hyperlink ref="C21" r:id="rId27" display="mailto:5d4zbu@tutanota.com" xr:uid="{54EA3066-CE83-4071-924E-1E495F6C3C0E}"/>
    <hyperlink ref="C22" r:id="rId28" display="mailto:ptec8ym@yahoo.com" xr:uid="{B260E1B3-BC05-46DE-B9FE-1EA5669207F7}"/>
    <hyperlink ref="C23" r:id="rId29" display="mailto:1qz4kw@mail.com" xr:uid="{9B2EA303-4BCC-421B-AB48-32848026AD70}"/>
    <hyperlink ref="C24" r:id="rId30" display="mailto:4np6se@mail.com" xr:uid="{217AEDE7-C7A1-4440-A5E7-C97A6A953A81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Дарья Арзамасова</cp:lastModifiedBy>
  <dcterms:created xsi:type="dcterms:W3CDTF">2022-01-17T17:43:46Z</dcterms:created>
  <dcterms:modified xsi:type="dcterms:W3CDTF">2026-05-31T20:39:56Z</dcterms:modified>
</cp:coreProperties>
</file>